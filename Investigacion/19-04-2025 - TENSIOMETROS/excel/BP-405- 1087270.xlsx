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3" documentId="11_0630C1E0636FFC4FF4F4721307FE9058FD8E5D2E" xr6:coauthVersionLast="47" xr6:coauthVersionMax="47" xr10:uidLastSave="{49141F85-120E-4C7B-A512-625EE3F83EC8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<sst xmlns="http://schemas.openxmlformats.org/spreadsheetml/2006/main" count="80" uniqueCount="63">
  <si>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</si>
  <si>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</si>
  <si>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</si>
  <si>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</si>
  <si>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</si>
  <si>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</si>
  <si>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</si>
  <si>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</si>
  <si>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</si>
  <si>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</si>
  <si>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</si>
  <si>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4to piso</t>
  </si>
  <si>
    <t xml:space="preserve">N° serie: </t>
  </si>
  <si>
    <t>1087270</t>
  </si>
  <si>
    <t xml:space="preserve">Marca:                                                                                  </t>
  </si>
  <si>
    <t>Heine</t>
  </si>
  <si>
    <t>Ubicación:</t>
  </si>
  <si>
    <t>Consultorio 405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</si>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</sst>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31" xfId="0" applyNumberFormat="1" applyFont="1" applyBorder="1" applyAlignment="1" applyProtection="1">
      <alignment horizontal="center"/>
      <protection locked="0"/>
    </xf>
    <xf numFmtId="164" fontId="2" fillId="0" borderId="18" xfId="0" applyNumberFormat="1" applyFont="1" applyBorder="1" applyAlignment="1" applyProtection="1">
      <alignment horizontal="center"/>
      <protection locked="0"/>
    </xf>
    <xf numFmtId="164" fontId="2" fillId="0" borderId="34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B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 t="s">
        <v>11</v>
      </c>
      <c r="I6" s="112"/>
      <c r="J6" s="157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119" t="s">
        <v>17</v>
      </c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19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20</v>
      </c>
      <c r="H10" s="134" t="s">
        <v>21</v>
      </c>
      <c r="I10" s="135"/>
      <c r="J10" s="136"/>
    </row>
    <row r="11" spans="1:10" ht="15" customHeight="1" thickBot="1">
      <c r="A11" s="107" t="s">
        <v>22</v>
      </c>
      <c r="B11" s="108"/>
      <c r="C11" s="59" t="s">
        <v>23</v>
      </c>
      <c r="D11" s="59" t="s">
        <v>24</v>
      </c>
      <c r="E11" s="57" t="s">
        <v>25</v>
      </c>
      <c r="F11" s="109" t="s">
        <v>26</v>
      </c>
      <c r="G11" s="110"/>
      <c r="H11" s="66"/>
      <c r="I11" s="67"/>
      <c r="J11" s="68"/>
    </row>
    <row r="12" spans="1:10" ht="15" customHeight="1">
      <c r="A12" s="111" t="s">
        <v>27</v>
      </c>
      <c r="B12" s="112"/>
      <c r="C12" s="58" t="s">
        <v>28</v>
      </c>
      <c r="D12" s="58" t="s">
        <v>29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30</v>
      </c>
      <c r="B16" s="106"/>
      <c r="C16" s="106"/>
      <c r="D16" s="106"/>
      <c r="E16" s="106"/>
      <c r="F16" s="106"/>
      <c r="G16" s="106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37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40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41</v>
      </c>
      <c r="B26" s="75"/>
      <c r="C26" s="75"/>
      <c r="D26" s="75"/>
      <c r="E26" s="75"/>
      <c r="F26" s="75"/>
      <c r="G26" s="76"/>
      <c r="H26" s="104" t="s">
        <v>42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43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</v>
      </c>
      <c r="I31" s="18">
        <v>31.2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</v>
      </c>
      <c r="I32" s="26">
        <v>41.1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</v>
      </c>
      <c r="I33" s="26">
        <v>51.9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</v>
      </c>
      <c r="I34" s="26">
        <v>61.7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</v>
      </c>
      <c r="I35" s="26">
        <v>71.099999999999994</v>
      </c>
      <c r="J35" s="22"/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</v>
      </c>
      <c r="I36" s="26">
        <v>80.8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</v>
      </c>
      <c r="I37" s="26">
        <v>90.6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</v>
      </c>
      <c r="I38" s="26">
        <v>100.9</v>
      </c>
      <c r="J38" s="22" t="s">
        <v>39</v>
      </c>
      <c r="K38" s="6"/>
      <c r="L38" s="6"/>
      <c r="M38" s="1"/>
      <c r="N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110</v>
      </c>
      <c r="I39" s="26">
        <v>110.9</v>
      </c>
      <c r="J39" s="22" t="s">
        <v>39</v>
      </c>
      <c r="K39" s="6"/>
      <c r="L39" s="6"/>
      <c r="M39" s="1"/>
      <c r="N39" s="1"/>
    </row>
    <row r="40" spans="1:14" ht="15.75" thickBot="1">
      <c r="A40" s="25"/>
      <c r="B40" s="175" t="s">
        <v>55</v>
      </c>
      <c r="C40" s="176"/>
      <c r="D40" s="176"/>
      <c r="E40" s="176"/>
      <c r="F40" s="176"/>
      <c r="G40" s="177"/>
      <c r="H40" s="26">
        <v>120</v>
      </c>
      <c r="I40" s="26">
        <v>121.8</v>
      </c>
      <c r="J40" s="22" t="s">
        <v>39</v>
      </c>
      <c r="K40" s="6"/>
      <c r="L40" s="6"/>
    </row>
    <row r="41" spans="1:14" ht="15.75" thickBot="1">
      <c r="A41" s="25"/>
      <c r="B41" s="175" t="s">
        <v>56</v>
      </c>
      <c r="C41" s="176"/>
      <c r="D41" s="176"/>
      <c r="E41" s="176"/>
      <c r="F41" s="176"/>
      <c r="G41" s="177"/>
      <c r="H41" s="26">
        <v>130</v>
      </c>
      <c r="I41" s="26">
        <v>130.9</v>
      </c>
      <c r="J41" s="22" t="s">
        <v>39</v>
      </c>
      <c r="K41" s="6"/>
      <c r="L41" s="6"/>
    </row>
    <row r="42" spans="1:14" ht="15.75" thickBot="1">
      <c r="A42" s="25"/>
      <c r="B42" s="175" t="s">
        <v>57</v>
      </c>
      <c r="C42" s="176"/>
      <c r="D42" s="176"/>
      <c r="E42" s="176"/>
      <c r="F42" s="176"/>
      <c r="G42" s="177"/>
      <c r="H42" s="26">
        <v>140</v>
      </c>
      <c r="I42" s="26">
        <v>140.9</v>
      </c>
      <c r="J42" s="22" t="s">
        <v>39</v>
      </c>
      <c r="K42" s="6"/>
      <c r="L42" s="6"/>
    </row>
    <row r="43" spans="1:14" ht="15.75" thickBot="1">
      <c r="A43" s="25"/>
      <c r="B43" s="175" t="s">
        <v>58</v>
      </c>
      <c r="C43" s="176"/>
      <c r="D43" s="176"/>
      <c r="E43" s="176"/>
      <c r="F43" s="176"/>
      <c r="G43" s="177"/>
      <c r="H43" s="26">
        <v>150</v>
      </c>
      <c r="I43" s="26">
        <v>150.69999999999999</v>
      </c>
      <c r="J43" s="22" t="s">
        <v>39</v>
      </c>
      <c r="K43" s="6"/>
      <c r="L43" s="6"/>
    </row>
    <row r="44" spans="1:14" ht="15.75" thickBot="1">
      <c r="A44" s="25"/>
      <c r="B44" s="175" t="s">
        <v>59</v>
      </c>
      <c r="C44" s="176"/>
      <c r="D44" s="176"/>
      <c r="E44" s="176"/>
      <c r="F44" s="176"/>
      <c r="G44" s="177"/>
      <c r="H44" s="26">
        <v>160</v>
      </c>
      <c r="I44" s="26">
        <v>160.6</v>
      </c>
      <c r="J44" s="22" t="s">
        <v>39</v>
      </c>
      <c r="K44" s="6"/>
      <c r="L44" s="6"/>
    </row>
    <row r="45" spans="1:14" ht="15.75" thickBot="1">
      <c r="A45" s="20"/>
      <c r="B45" s="175" t="s">
        <v>60</v>
      </c>
      <c r="C45" s="176"/>
      <c r="D45" s="176"/>
      <c r="E45" s="176"/>
      <c r="F45" s="176"/>
      <c r="G45" s="177"/>
      <c r="H45" s="21">
        <v>180</v>
      </c>
      <c r="I45" s="21">
        <v>180.8</v>
      </c>
      <c r="J45" s="22" t="s">
        <v>39</v>
      </c>
      <c r="K45" s="6"/>
      <c r="L45" s="6"/>
    </row>
    <row r="46" spans="1:14" ht="15.75" thickBot="1">
      <c r="A46" s="23"/>
      <c r="B46" s="175" t="s">
        <v>61</v>
      </c>
      <c r="C46" s="176"/>
      <c r="D46" s="176"/>
      <c r="E46" s="176"/>
      <c r="F46" s="176"/>
      <c r="G46" s="177"/>
      <c r="H46" s="24">
        <v>200</v>
      </c>
      <c r="I46" s="24">
        <v>200.5</v>
      </c>
      <c r="J46" s="10" t="s">
        <v>39</v>
      </c>
      <c r="K46" s="6"/>
      <c r="L46" s="6"/>
    </row>
    <row r="47" spans="1:14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14" ht="16.5" thickBot="1">
      <c r="A48" s="74" t="s">
        <v>62</v>
      </c>
      <c r="B48" s="75"/>
      <c r="C48" s="75"/>
      <c r="D48" s="75"/>
      <c r="E48" s="75"/>
      <c r="F48" s="75"/>
      <c r="G48" s="76"/>
      <c r="H48" s="77">
        <f>((H31+H32+H33+H34+H36+H37+H38+H40+H41+H42+H43+H44+H45+H46) - (I31+I32+I33+I34+I36+I37+I38+I40+I41+I42+I43+I44+I45+I46))/14</f>
        <v>-1.0285714285714025</v>
      </c>
      <c r="I48" s="78"/>
      <c r="J48" s="79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8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8:G48"/>
    <mergeCell ref="H48:J48"/>
    <mergeCell ref="B42:G42"/>
    <mergeCell ref="B43:G43"/>
    <mergeCell ref="B46:G4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