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15" documentId="8_{691C9B8F-3EB0-469D-8959-1B665ABBD0C7}" xr6:coauthVersionLast="47" xr6:coauthVersionMax="47" xr10:uidLastSave="{F9FAFF23-1113-4D67-89D9-FF1E49A7A5E0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<sst xmlns="http://schemas.openxmlformats.org/spreadsheetml/2006/main" count="79" uniqueCount="62">
  <si>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</si>
  <si>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</si>
  <si>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</si>
  <si>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</si>
  <si>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</si>
  <si>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</si>
  <si>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</si>
  <si>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 Gamma XXL</t>
  </si>
  <si>
    <t>Edificio:</t>
  </si>
  <si>
    <t>Barrio parque</t>
  </si>
  <si>
    <t>Sector:</t>
  </si>
  <si>
    <t>4to piso</t>
  </si>
  <si>
    <t xml:space="preserve">N° serie: </t>
  </si>
  <si>
    <t>1087270</t>
  </si>
  <si>
    <t xml:space="preserve">Marca:                                                                                  </t>
  </si>
  <si>
    <t>Heine</t>
  </si>
  <si>
    <t>Ubicación:</t>
  </si>
  <si>
    <t>Consultorio 405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</si>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</sst>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H7" sqref="H7:J7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</v>
      </c>
      <c r="I31" s="18">
        <v>31.5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</v>
      </c>
      <c r="I32" s="26">
        <v>40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</v>
      </c>
      <c r="I33" s="26">
        <v>51.5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</v>
      </c>
      <c r="I34" s="26">
        <v>60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</v>
      </c>
      <c r="I35" s="26">
        <v>71.3</v>
      </c>
      <c r="J35" s="22" t="s">
        <v>39</v>
      </c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</v>
      </c>
      <c r="I36" s="26">
        <v>80.5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</v>
      </c>
      <c r="I37" s="26">
        <v>90.5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</v>
      </c>
      <c r="I38" s="26">
        <v>100</v>
      </c>
      <c r="J38" s="22" t="s">
        <v>39</v>
      </c>
      <c r="K38" s="6"/>
      <c r="L38" s="6"/>
      <c r="M38" s="1"/>
      <c r="N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</v>
      </c>
      <c r="I39" s="26">
        <v>120.4</v>
      </c>
      <c r="J39" s="22" t="s">
        <v>39</v>
      </c>
      <c r="K39" s="6"/>
      <c r="L39" s="6"/>
      <c r="M39" s="1"/>
      <c r="N39" s="1"/>
    </row>
    <row r="40" spans="1:14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130</v>
      </c>
      <c r="I40" s="26">
        <v>130</v>
      </c>
      <c r="J40" s="22" t="s">
        <v>39</v>
      </c>
      <c r="K40" s="6"/>
      <c r="L40" s="6"/>
      <c r="M40" s="1"/>
      <c r="N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140</v>
      </c>
      <c r="I41" s="26">
        <v>140</v>
      </c>
      <c r="J41" s="22" t="s">
        <v>39</v>
      </c>
      <c r="K41" s="6"/>
      <c r="L41" s="6"/>
      <c r="M41" s="1"/>
      <c r="N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150</v>
      </c>
      <c r="I42" s="26">
        <v>150</v>
      </c>
      <c r="J42" s="22" t="s">
        <v>39</v>
      </c>
      <c r="K42" s="6"/>
      <c r="L42" s="6"/>
      <c r="M42" s="1"/>
      <c r="N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160</v>
      </c>
      <c r="I43" s="26">
        <v>161</v>
      </c>
      <c r="J43" s="22" t="s">
        <v>39</v>
      </c>
      <c r="K43" s="6"/>
      <c r="L43" s="6"/>
      <c r="M43" s="1"/>
      <c r="N43" s="1"/>
    </row>
    <row r="44" spans="1:14" ht="16.5" thickBot="1">
      <c r="A44" s="20"/>
      <c r="B44" s="175" t="s">
        <v>59</v>
      </c>
      <c r="C44" s="176"/>
      <c r="D44" s="176"/>
      <c r="E44" s="176"/>
      <c r="F44" s="176"/>
      <c r="G44" s="177"/>
      <c r="H44" s="21">
        <v>180</v>
      </c>
      <c r="I44" s="21">
        <v>180.2</v>
      </c>
      <c r="J44" s="22" t="s">
        <v>39</v>
      </c>
      <c r="K44" s="6"/>
      <c r="L44" s="6"/>
      <c r="M44" s="1"/>
      <c r="N44" s="1"/>
    </row>
    <row r="45" spans="1:14" ht="16.5" thickBot="1">
      <c r="A45" s="23"/>
      <c r="B45" s="175" t="s">
        <v>60</v>
      </c>
      <c r="C45" s="176"/>
      <c r="D45" s="176"/>
      <c r="E45" s="176"/>
      <c r="F45" s="176"/>
      <c r="G45" s="177"/>
      <c r="H45" s="24">
        <v>200</v>
      </c>
      <c r="I45" s="24">
        <v>200</v>
      </c>
      <c r="J45" s="10" t="s">
        <v>39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74" t="s">
        <v>61</v>
      </c>
      <c r="B47" s="75"/>
      <c r="C47" s="75"/>
      <c r="D47" s="75"/>
      <c r="E47" s="75"/>
      <c r="F47" s="75"/>
      <c r="G47" s="76"/>
      <c r="H47" s="77">
        <f>((H31+H32+H33+H34+H36+H37+H38+H39+H40+H41+H42+H43+H44+H45) - (I31+I32+I33+I34+I36+I37+I38+I39+I40+I41+I42+I43+I44+I45))/14</f>
        <v>-1.1142857142857241</v>
      </c>
      <c r="I47" s="78"/>
      <c r="J47" s="79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7:G47"/>
    <mergeCell ref="H47:J47"/>
    <mergeCell ref="B42:G42"/>
    <mergeCell ref="B43:G43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